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<sst xmlns="http://schemas.openxmlformats.org/spreadsheetml/2006/main" count="8" uniqueCount="8">
  <si>
    <t xml:space="preserve">HW_descriptor</t>
  </si>
  <si>
    <t xml:space="preserve">HW_variants</t>
  </si>
  <si>
    <t xml:space="preserve">SW_CONF</t>
  </si>
  <si>
    <t xml:space="preserve">HW_variants2</t>
  </si>
  <si>
    <t xml:space="preserve">HW_variants3</t>
  </si>
  <si>
    <t xml:space="preserve">B2</t>
  </si>
  <si>
    <t xml:space="preserve">D1</t>
  </si>
  <si>
    <t xml:space="preserve">← Enter here in HEX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</si>
</sst>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0E+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12109375" defaultRowHeight="12.8" zeroHeight="false" outlineLevelRow="0" outlineLevelCol="0"/>
  <cols>
    <col collapsed="false" customWidth="true" hidden="false" outlineLevel="0" max="1" min="1" style="1" width="23.14"/>
    <col collapsed="false" customWidth="true" hidden="false" outlineLevel="0" max="2" min="2" style="1" width="20.63"/>
    <col collapsed="false" customWidth="true" hidden="false" outlineLevel="0" max="3" min="3" style="1" width="21.97"/>
    <col collapsed="false" customWidth="true" hidden="false" outlineLevel="0" max="4" min="4" style="0" width="24.47"/>
    <col collapsed="false" customWidth="true" hidden="false" outlineLevel="0" max="5" min="5" style="0" width="21.1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n">
        <v>91</v>
      </c>
      <c r="B2" s="3" t="n">
        <v>90</v>
      </c>
      <c r="C2" s="3" t="s">
        <v>5</v>
      </c>
      <c r="D2" s="3" t="s">
        <v>6</v>
      </c>
      <c r="E2" s="3" t="n">
        <v>4</v>
      </c>
      <c r="F2" s="1" t="s">
        <v>7</v>
      </c>
    </row>
    <row r="3" customFormat="false" ht="12.8" hidden="false" customHeight="false" outlineLevel="0" collapsed="false">
      <c r="A3" s="4"/>
      <c r="B3" s="4"/>
      <c r="C3" s="4"/>
      <c r="D3" s="4"/>
      <c r="E3" s="4"/>
    </row>
    <row r="4" customFormat="false" ht="12.8" hidden="false" customHeight="false" outlineLevel="0" collapsed="false">
      <c r="A4" s="5" t="str">
        <f aca="false">IF(((MID((DEC2BIN(HEX2DEC(A2)+256)),9,1)="1")),"Battery gauge available","")</f>
        <v>Battery gauge available</v>
      </c>
      <c r="B4" s="5" t="str">
        <f aca="false">IF(((MID((DEC2BIN(HEX2DEC(B2)+256)),9,1)="1")),"Display Typ 1","")</f>
        <v/>
      </c>
      <c r="C4" s="5" t="str">
        <f aca="false">IF(((MID((DEC2BIN(HEX2DEC(C2)+256)),9,1)="1")),"Screendump included","")</f>
        <v/>
      </c>
      <c r="D4" s="5" t="str">
        <f aca="false">IF(((MID((DEC2BIN(HEX2DEC(D2)+256)),9,1)="1")),"MS5583 Sensor","")</f>
        <v>MS5583 Sensor</v>
      </c>
      <c r="E4" s="5" t="str">
        <f aca="false">IF(((MID((DEC2BIN(HEX2DEC(E2)+256)),9,1)="1")),"Dual Comm","")</f>
        <v/>
      </c>
    </row>
    <row r="5" customFormat="false" ht="12.8" hidden="false" customHeight="false" outlineLevel="0" collapsed="false">
      <c r="A5" s="6" t="str">
        <f aca="false">IF(((MID((DEC2BIN(HEX2DEC(A2)+256)),8,1)="1")),"Ambient light sensor found","")</f>
        <v/>
      </c>
      <c r="B5" s="5" t="str">
        <f aca="false">IF(((MID((DEC2BIN(HEX2DEC(B2)+256)),8,1)="1")),"Display Typ 2","")</f>
        <v/>
      </c>
      <c r="C5" s="5" t="str">
        <f aca="false">IF(((MID((DEC2BIN(HEX2DEC(C2)+256)),8,1)="1")),"Compass included","")</f>
        <v>Compass included</v>
      </c>
      <c r="D5" s="5" t="str">
        <f aca="false">IF(((MID((DEC2BIN(HEX2DEC(D2)+256)),8,1)="1")),"Less IO CPU","")</f>
        <v/>
      </c>
      <c r="E5" s="5" t="str">
        <f aca="false">IF(((MID((DEC2BIN(HEX2DEC(E2)+256)),8,1)="1")),"Adjustable Buttons","")</f>
        <v/>
      </c>
    </row>
    <row r="6" customFormat="false" ht="12.8" hidden="false" customHeight="false" outlineLevel="0" collapsed="false">
      <c r="A6" s="5" t="str">
        <f aca="false">IF(((MID((DEC2BIN(HEX2DEC(A2)+256)),7,1)="1")),"Analog O2 input","")</f>
        <v/>
      </c>
      <c r="B6" s="5" t="str">
        <f aca="false">IF(((MID((DEC2BIN(HEX2DEC(B2)+256)),7,1)="1")),"Display Typ 3","")</f>
        <v/>
      </c>
      <c r="C6" s="5" t="str">
        <f aca="false">IF(((MID((DEC2BIN(HEX2DEC(C2)+256)),7,1)="1")),"RX functions included","")</f>
        <v/>
      </c>
      <c r="D6" s="5" t="str">
        <f aca="false">IF(((MID((DEC2BIN(HEX2DEC(D2)+256)),7,1)="1")),"Display Typ 4","")</f>
        <v/>
      </c>
      <c r="E6" s="5" t="str">
        <f aca="false">IF(((MID((DEC2BIN(HEX2DEC(E2)+256)),7,1)="1")),"BLE Only","")</f>
        <v>BLE Only</v>
      </c>
    </row>
    <row r="7" customFormat="false" ht="12.8" hidden="false" customHeight="false" outlineLevel="0" collapsed="false">
      <c r="A7" s="7" t="str">
        <f aca="false">IF(((MID((DEC2BIN(HEX2DEC(A2)+256)),6,1)="1")),"Optical interface available","")</f>
        <v/>
      </c>
      <c r="B7" s="7" t="str">
        <f aca="false">IF(((MID((DEC2BIN(HEX2DEC(B2)+256)),6,1)="1")),"Compass Typ 1","")</f>
        <v/>
      </c>
      <c r="C7" s="7" t="str">
        <f aca="false">IF(((MID((DEC2BIN(HEX2DEC(C2)+256)),6,1)="1")),"RX update included","")</f>
        <v/>
      </c>
      <c r="D7" s="7" t="str">
        <f aca="false">IF(((MID((DEC2BIN(HEX2DEC(D2)+256)),6,1)="1")),"DN flag","")</f>
        <v/>
      </c>
      <c r="E7" s="7" t="str">
        <f aca="false">IF(((MID((DEC2BIN(HEX2DEC(E2)+256)),6,1)="1")),"unused","")</f>
        <v/>
      </c>
    </row>
    <row r="8" customFormat="false" ht="12.8" hidden="false" customHeight="false" outlineLevel="0" collapsed="false">
      <c r="A8" s="5" t="str">
        <f aca="false">IF(((MID((DEC2BIN(HEX2DEC(A2)+256)),5,1)="1")),"BLE/Bluetooth available","")</f>
        <v>BLE/Bluetooth available</v>
      </c>
      <c r="B8" s="5" t="str">
        <f aca="false">IF(((MID((DEC2BIN(HEX2DEC(B2)+256)),5,1)="1")),"Compass Typ 2","")</f>
        <v>Compass Typ 2</v>
      </c>
      <c r="C8" s="5" t="str">
        <f aca="false">IF(((MID((DEC2BIN(HEX2DEC(C2)+256)),5,1)="1")),"Trimix included","")</f>
        <v>Trimix included</v>
      </c>
      <c r="D8" s="5" t="str">
        <f aca="false">IF(((MID((DEC2BIN(HEX2DEC(D2)+256)),5,1)="1")),"Display Typ 5","")</f>
        <v>Display Typ 5</v>
      </c>
      <c r="E8" s="5" t="str">
        <f aca="false">IF(((MID((DEC2BIN(HEX2DEC(E2)+256)),5,1)="1")),"unused","")</f>
        <v/>
      </c>
    </row>
    <row r="9" customFormat="false" ht="12.8" hidden="false" customHeight="false" outlineLevel="0" collapsed="false">
      <c r="A9" s="5" t="str">
        <f aca="false">IF(((MID((DEC2BIN(HEX2DEC(A2)+256)),4,1)="1")),"OSTC RX Hardware","")</f>
        <v/>
      </c>
      <c r="B9" s="5" t="str">
        <f aca="false">IF(((MID((DEC2BIN(HEX2DEC(B2)+256)),4,1)="1")),"Compass Typ 3","")</f>
        <v/>
      </c>
      <c r="C9" s="5" t="str">
        <f aca="false">IF(((MID((DEC2BIN(HEX2DEC(C2)+256)),4,1)="1")),"ccr/pscr included","")</f>
        <v>ccr/pscr included</v>
      </c>
      <c r="D9" s="5" t="str">
        <f aca="false">IF(((MID((DEC2BIN(HEX2DEC(D2)+256)),4,1)="1")),"Compass Typ 0","")</f>
        <v/>
      </c>
      <c r="E9" s="5" t="str">
        <f aca="false">IF(((MID((DEC2BIN(HEX2DEC(E2)+256)),4,1)="1")),"unused","")</f>
        <v/>
      </c>
    </row>
    <row r="10" customFormat="false" ht="12.8" hidden="false" customHeight="false" outlineLevel="0" collapsed="false">
      <c r="A10" s="8" t="str">
        <f aca="false">IF(((MID((DEC2BIN(HEX2DEC(A2)+256)),3,1)="1")),"Low Voltage Core","")</f>
        <v/>
      </c>
      <c r="B10" s="8" t="str">
        <f aca="false">IF(((MID((DEC2BIN(HEX2DEC(B2)+256)),3,1)="1")),"Analog switches available","")</f>
        <v/>
      </c>
      <c r="C10" s="8" t="str">
        <f aca="false">IF(((MID((DEC2BIN(HEX2DEC(C2)+256)),3,1)="1")),"external sensor included","")</f>
        <v/>
      </c>
      <c r="D10" s="8" t="str">
        <f aca="false">IF(((MID((DEC2BIN(HEX2DEC(D2)+256)),3,1)="1")),"Compass Present","")</f>
        <v>Compass Present</v>
      </c>
      <c r="E10" s="8" t="str">
        <f aca="false">IF(((MID((DEC2BIN(HEX2DEC(E2)+256)),3,1)="1")),"unused","")</f>
        <v/>
      </c>
    </row>
    <row r="11" customFormat="false" ht="12.8" hidden="false" customHeight="false" outlineLevel="0" collapsed="false">
      <c r="A11" s="8" t="str">
        <f aca="false">IF(((MID((DEC2BIN(HEX2DEC(A2)+256)),2,1)="1")),"Block write available","")</f>
        <v>Block write available</v>
      </c>
      <c r="B11" s="8" t="str">
        <f aca="false">IF(((MID((DEC2BIN(HEX2DEC(B2)+256)),2,1)="1")),"A 3.6V battery is in use","")</f>
        <v>A 3.6V battery is in use</v>
      </c>
      <c r="C11" s="8" t="str">
        <f aca="false">IF(((MID((DEC2BIN(HEX2DEC(C2)+256)),2,1)="1")),"Cave mode included","")</f>
        <v>Cave mode included</v>
      </c>
      <c r="D11" s="8" t="str">
        <f aca="false">IF(((MID((DEC2BIN(HEX2DEC(D2)+256)),2,1)="1")),"LTC2959 Byattery Monitor","")</f>
        <v>LTC2959 Byattery Monitor</v>
      </c>
      <c r="E11" s="8" t="str">
        <f aca="false">IF(((MID((DEC2BIN(HEX2DEC(E2)+256)),2,1)="1")),"Cave mode included","")</f>
        <v/>
      </c>
    </row>
    <row r="12" customFormat="false" ht="12.8" hidden="false" customHeight="false" outlineLevel="0" collapsed="false">
      <c r="A12" s="8"/>
      <c r="B12" s="8"/>
      <c r="C12" s="8"/>
    </row>
    <row r="13" customFormat="false" ht="12.8" hidden="false" customHeight="false" outlineLevel="0" collapsed="false">
      <c r="A13" s="8"/>
      <c r="B13" s="8"/>
      <c r="C13" s="8"/>
    </row>
    <row r="14" customFormat="false" ht="12.8" hidden="false" customHeight="false" outlineLevel="0" collapsed="false">
      <c r="A14" s="8"/>
      <c r="B14" s="8"/>
      <c r="C14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1221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2020-04-12T17:02:34Z</dcterms:created>
  <dc:creator/>
  <dc:description/>
  <dc:language>de-DE</dc:language>
  <cp:lastModifiedBy/>
  <dcterms:modified xsi:type="dcterms:W3CDTF">2026-02-16T11:59:24Z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